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Pro Forma" sheetId="2" state="visible" r:id="rId4"/>
    <sheet name="Valuation" sheetId="3" state="visible" r:id="rId5"/>
    <sheet name="Rent Roll" sheetId="4" state="visible" r:id="rId6"/>
    <sheet name="Calc" sheetId="5" state="hidden" r:id="rId7"/>
  </sheets>
  <definedNames>
    <definedName function="false" hidden="false" name="Derived_Name" vbProcedure="false">Assumptions!$C$5*2</definedName>
    <definedName function="false" hidden="false" name="Rent_Range" vbProcedure="false">'Rent Roll'!$C$2:$C$4</definedName>
    <definedName function="false" hidden="false" name="Subject_Cap_Rate" vbProcedure="false">Assumptions!$C$5</definedName>
    <definedName function="false" hidden="false" name="Subject_NOI" vbProcedure="false">'Pro Forma'!$C$9</definedName>
    <definedName function="false" hidden="false" name="Subject_SF" vbProcedure="false">Assumptions!$C$6</definedName>
    <definedName function="false" hidden="false" name="Subject_Units" vbProcedure="false">Assumptions!$C$7</definedName>
    <definedName function="false" hidden="false" name="Subject_Value" vbProcedure="false">Valuation!$C$5</definedName>
    <definedName function="false" hidden="false" localSheetId="2" name="Subject_NOI" vbProcedure="false">Valuation!$C$5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<sst xmlns="http://schemas.openxmlformats.org/spreadsheetml/2006/main" count="22" uniqueCount="22">
  <si>
    <t xml:space="preserve">Subject Assumptions</t>
  </si>
  <si>
    <t xml:space="preserve">Cap Rate</t>
  </si>
  <si>
    <t xml:space="preserve">Subject Square Feet</t>
  </si>
  <si>
    <t xml:space="preserve">Subject Units</t>
  </si>
  <si>
    <t xml:space="preserve">Market Vacancy</t>
  </si>
  <si>
    <t xml:space="preserve">Potential Gross Income</t>
  </si>
  <si>
    <t xml:space="preserve">Vacancy and Credit Loss</t>
  </si>
  <si>
    <t xml:space="preserve">Effective Gross Income</t>
  </si>
  <si>
    <t xml:space="preserve">Operating Expenses</t>
  </si>
  <si>
    <t xml:space="preserve">Net Operating Income</t>
  </si>
  <si>
    <t xml:space="preserve">Monthly Rent Roll</t>
  </si>
  <si>
    <t xml:space="preserve">Indicated Value</t>
  </si>
  <si>
    <t xml:space="preserve">Unit</t>
  </si>
  <si>
    <t xml:space="preserve">Tenant</t>
  </si>
  <si>
    <t xml:space="preserve">Rent</t>
  </si>
  <si>
    <t xml:space="preserve">101</t>
  </si>
  <si>
    <t xml:space="preserve">Alpha LLC</t>
  </si>
  <si>
    <t xml:space="preserve">102</t>
  </si>
  <si>
    <t xml:space="preserve">Beta Inc</t>
  </si>
  <si>
    <t xml:space="preserve">103</t>
  </si>
  <si>
    <t xml:space="preserve">Gamma Co</t>
  </si>
  <si>
    <t xml:space="preserve">Scratch Figure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</si>
</sst>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%"/>
    <numFmt numFmtId="166" formatCode="#,##0"/>
    <numFmt numFmtId="167" formatCode="0.0%"/>
    <numFmt numFmtId="168" formatCode="\$#,##0_);&quot;($&quot;#,##0\)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blRentRoll" displayName="tblRentRoll" ref="A1:C4" headerRowCount="1" totalsRowCount="0" totalsRowShown="0">
  <autoFilter ref="A1:C4"/>
  <tableColumns count="3">
    <tableColumn id="1" name="Unit"/>
    <tableColumn id="2" name="Tenant"/>
    <tableColumn id="3" name="Rent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2" customFormat="false" ht="15" hidden="false" customHeight="false" outlineLevel="0" collapsed="false">
      <c r="B2" s="0" t="s">
        <v>0</v>
      </c>
    </row>
    <row r="5" customFormat="false" ht="15" hidden="false" customHeight="false" outlineLevel="0" collapsed="false">
      <c r="B5" s="0" t="s">
        <v>1</v>
      </c>
      <c r="C5" s="1" t="n">
        <v>0.065</v>
      </c>
    </row>
    <row r="6" customFormat="false" ht="15" hidden="false" customHeight="false" outlineLevel="0" collapsed="false">
      <c r="B6" s="0" t="s">
        <v>2</v>
      </c>
      <c r="C6" s="2" t="n">
        <v>36000</v>
      </c>
    </row>
    <row r="7" customFormat="false" ht="15" hidden="false" customHeight="false" outlineLevel="0" collapsed="false">
      <c r="B7" s="0" t="s">
        <v>3</v>
      </c>
      <c r="C7" s="0" t="n">
        <v>24</v>
      </c>
    </row>
    <row r="8" customFormat="false" ht="15" hidden="false" customHeight="false" outlineLevel="0" collapsed="false">
      <c r="B8" s="0" t="s">
        <v>4</v>
      </c>
      <c r="C8" s="3" t="n">
        <v>0.05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5:E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5" customFormat="false" ht="15" hidden="false" customHeight="false" outlineLevel="0" collapsed="false">
      <c r="B5" s="0" t="s">
        <v>5</v>
      </c>
      <c r="C5" s="4" t="n">
        <v>1500000</v>
      </c>
    </row>
    <row r="6" customFormat="false" ht="15" hidden="false" customHeight="false" outlineLevel="0" collapsed="false">
      <c r="B6" s="0" t="s">
        <v>6</v>
      </c>
      <c r="C6" s="4" t="n">
        <f aca="false">-C5*Assumptions!C8</f>
        <v>-75000</v>
      </c>
    </row>
    <row r="7" customFormat="false" ht="15" hidden="false" customHeight="false" outlineLevel="0" collapsed="false">
      <c r="B7" s="0" t="s">
        <v>7</v>
      </c>
      <c r="C7" s="4" t="n">
        <f aca="false">C5+C6</f>
        <v>1425000</v>
      </c>
    </row>
    <row r="8" customFormat="false" ht="15" hidden="false" customHeight="false" outlineLevel="0" collapsed="false">
      <c r="B8" s="0" t="s">
        <v>8</v>
      </c>
      <c r="C8" s="4" t="n">
        <v>500000</v>
      </c>
    </row>
    <row r="9" customFormat="false" ht="15" hidden="false" customHeight="false" outlineLevel="0" collapsed="false">
      <c r="B9" s="0" t="s">
        <v>9</v>
      </c>
      <c r="C9" s="4" t="n">
        <f aca="false">C7-C8</f>
        <v>925000</v>
      </c>
    </row>
    <row r="12" customFormat="false" ht="15" hidden="false" customHeight="false" outlineLevel="0" collapsed="false">
      <c r="B12" s="0" t="s">
        <v>10</v>
      </c>
      <c r="C12" s="0" t="n">
        <v>1000</v>
      </c>
      <c r="D12" s="0" t="n">
        <v>2000</v>
      </c>
      <c r="E12" s="0" t="n">
        <v>3000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5:C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5" customFormat="false" ht="15" hidden="false" customHeight="false" outlineLevel="0" collapsed="false">
      <c r="B5" s="0" t="s">
        <v>11</v>
      </c>
      <c r="C5" s="4" t="n">
        <f aca="false">'Pro Forma'!C9/Assumptions!C5</f>
        <v>14230769.2307692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5" t="s">
        <v>12</v>
      </c>
      <c r="B1" s="5" t="s">
        <v>13</v>
      </c>
      <c r="C1" s="5" t="s">
        <v>14</v>
      </c>
    </row>
    <row r="2" customFormat="false" ht="15" hidden="false" customHeight="false" outlineLevel="0" collapsed="false">
      <c r="A2" s="0" t="s">
        <v>15</v>
      </c>
      <c r="B2" s="0" t="s">
        <v>16</v>
      </c>
      <c r="C2" s="0" t="n">
        <v>1200</v>
      </c>
    </row>
    <row r="3" customFormat="false" ht="15" hidden="false" customHeight="false" outlineLevel="0" collapsed="false">
      <c r="A3" s="0" t="s">
        <v>17</v>
      </c>
      <c r="B3" s="0" t="s">
        <v>18</v>
      </c>
      <c r="C3" s="0" t="n">
        <v>1350</v>
      </c>
    </row>
    <row r="4" customFormat="false" ht="15" hidden="false" customHeight="false" outlineLevel="0" collapsed="false">
      <c r="A4" s="0" t="s">
        <v>19</v>
      </c>
      <c r="B4" s="0" t="s">
        <v>20</v>
      </c>
      <c r="C4" s="0" t="n">
        <v>1100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2" customFormat="false" ht="15" hidden="false" customHeight="false" outlineLevel="0" collapsed="false">
      <c r="B2" s="0" t="s">
        <v>21</v>
      </c>
      <c r="C2" s="0" t="n">
        <v>12345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2026-10-19T21:32:33Z</dcterms:created>
  <dc:creator>openpyxl</dc:creator>
  <dc:description/>
  <dc:language>en-US</dc:language>
  <cp:lastModifiedBy/>
  <dcterms:modified xsi:type="dcterms:W3CDTF">2026-10-19T21:32:33Z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